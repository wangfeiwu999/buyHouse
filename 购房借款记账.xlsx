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 tabRatio="178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G3" i="1"/>
  <c r="N3"/>
  <c r="G4"/>
  <c r="N4"/>
  <c r="G5"/>
  <c r="N5"/>
  <c r="G23"/>
  <c r="G22"/>
  <c r="G21"/>
  <c r="G20"/>
  <c r="N20" s="1"/>
  <c r="G19"/>
  <c r="N19" s="1"/>
  <c r="G18"/>
  <c r="N18" s="1"/>
  <c r="G17"/>
  <c r="N17" s="1"/>
  <c r="G16"/>
  <c r="N16" s="1"/>
  <c r="G15"/>
  <c r="N15" s="1"/>
  <c r="G14"/>
  <c r="N14" s="1"/>
  <c r="N21"/>
  <c r="N23"/>
  <c r="B26"/>
  <c r="B29" s="1"/>
  <c r="G10"/>
  <c r="N10" s="1"/>
  <c r="G7"/>
  <c r="N7" s="1"/>
  <c r="G8"/>
  <c r="N8" s="1"/>
  <c r="G9"/>
  <c r="N9" s="1"/>
  <c r="G12"/>
  <c r="N12" s="1"/>
  <c r="G25"/>
  <c r="N25" s="1"/>
  <c r="G6"/>
  <c r="N6" s="1"/>
  <c r="G11"/>
  <c r="N11" s="1"/>
  <c r="G13"/>
  <c r="N13" s="1"/>
  <c r="N22"/>
  <c r="G24"/>
  <c r="N24" s="1"/>
  <c r="G2"/>
  <c r="N2" s="1"/>
  <c r="N26" l="1"/>
  <c r="G26"/>
  <c r="G29" s="1"/>
</calcChain>
</file>

<file path=xl/comments1.xml><?xml version="1.0" encoding="utf-8"?>
<comments xmlns="http://schemas.openxmlformats.org/spreadsheetml/2006/main">
  <authors>
    <author>作者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日建行转账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千</t>
        </r>
      </text>
    </comment>
    <comment ref="E4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日建行转账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千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2018.5.3</t>
        </r>
        <r>
          <rPr>
            <sz val="9"/>
            <color indexed="81"/>
            <rFont val="宋体"/>
            <family val="3"/>
            <charset val="134"/>
          </rPr>
          <t xml:space="preserve">支付宝转账
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宋体"/>
            <family val="3"/>
            <charset val="134"/>
          </rPr>
          <t>日支付宝转账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千</t>
        </r>
      </text>
    </comment>
    <comment ref="D13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宋体"/>
            <family val="3"/>
            <charset val="134"/>
          </rPr>
          <t>月</t>
        </r>
        <r>
          <rPr>
            <sz val="9"/>
            <color indexed="81"/>
            <rFont val="Tahoma"/>
            <family val="2"/>
          </rPr>
          <t>23</t>
        </r>
        <r>
          <rPr>
            <sz val="9"/>
            <color indexed="81"/>
            <rFont val="宋体"/>
            <family val="3"/>
            <charset val="134"/>
          </rPr>
          <t>日支付宝转账一万六千元</t>
        </r>
      </text>
    </comment>
  </commentList>
</comments>
</file>

<file path=xl/sharedStrings.xml><?xml version="1.0" encoding="utf-8"?>
<sst xmlns="http://schemas.openxmlformats.org/spreadsheetml/2006/main" count="63" uniqueCount="62">
  <si>
    <t>姓名</t>
    <phoneticPr fontId="1" type="noConversion"/>
  </si>
  <si>
    <t>A轮借款</t>
    <phoneticPr fontId="1" type="noConversion"/>
  </si>
  <si>
    <t>备注</t>
    <phoneticPr fontId="1" type="noConversion"/>
  </si>
  <si>
    <t>A轮还款</t>
    <phoneticPr fontId="1" type="noConversion"/>
  </si>
  <si>
    <t>B轮借款</t>
    <phoneticPr fontId="1" type="noConversion"/>
  </si>
  <si>
    <t>C轮借款</t>
    <phoneticPr fontId="1" type="noConversion"/>
  </si>
  <si>
    <t>B轮还款</t>
    <phoneticPr fontId="1" type="noConversion"/>
  </si>
  <si>
    <t>C轮还款</t>
    <phoneticPr fontId="1" type="noConversion"/>
  </si>
  <si>
    <t>D轮还款</t>
    <phoneticPr fontId="1" type="noConversion"/>
  </si>
  <si>
    <t>E轮还款</t>
    <phoneticPr fontId="1" type="noConversion"/>
  </si>
  <si>
    <t>F轮还款</t>
    <phoneticPr fontId="1" type="noConversion"/>
  </si>
  <si>
    <t>曾金柱</t>
    <phoneticPr fontId="1" type="noConversion"/>
  </si>
  <si>
    <t>汤黎</t>
    <phoneticPr fontId="1" type="noConversion"/>
  </si>
  <si>
    <t>黄锦宝</t>
    <phoneticPr fontId="1" type="noConversion"/>
  </si>
  <si>
    <t>余斌</t>
    <phoneticPr fontId="1" type="noConversion"/>
  </si>
  <si>
    <t>陈旭成</t>
    <phoneticPr fontId="1" type="noConversion"/>
  </si>
  <si>
    <t>王建军</t>
    <phoneticPr fontId="1" type="noConversion"/>
  </si>
  <si>
    <t>杨小云</t>
    <phoneticPr fontId="1" type="noConversion"/>
  </si>
  <si>
    <t>朱甜</t>
    <phoneticPr fontId="1" type="noConversion"/>
  </si>
  <si>
    <t>罗纯</t>
    <phoneticPr fontId="1" type="noConversion"/>
  </si>
  <si>
    <t>王鹤</t>
    <phoneticPr fontId="1" type="noConversion"/>
  </si>
  <si>
    <t>陈语嫣</t>
    <phoneticPr fontId="1" type="noConversion"/>
  </si>
  <si>
    <t>夏永胜</t>
    <phoneticPr fontId="1" type="noConversion"/>
  </si>
  <si>
    <t>孟翠</t>
    <phoneticPr fontId="1" type="noConversion"/>
  </si>
  <si>
    <t>李胜营</t>
    <phoneticPr fontId="1" type="noConversion"/>
  </si>
  <si>
    <t>李赣明</t>
    <phoneticPr fontId="1" type="noConversion"/>
  </si>
  <si>
    <t>李振</t>
    <phoneticPr fontId="1" type="noConversion"/>
  </si>
  <si>
    <t>5.3提过一次未成功，6月份再争取5千</t>
    <phoneticPr fontId="1" type="noConversion"/>
  </si>
  <si>
    <t>李育</t>
    <phoneticPr fontId="1" type="noConversion"/>
  </si>
  <si>
    <t>预定5千，6月10号左右电话催收</t>
    <phoneticPr fontId="1" type="noConversion"/>
  </si>
  <si>
    <t>5月份提过一次未成功，6月份再争取5千</t>
    <phoneticPr fontId="1" type="noConversion"/>
  </si>
  <si>
    <t>张兆景</t>
    <phoneticPr fontId="1" type="noConversion"/>
  </si>
  <si>
    <t>同意借8-9千，5月底微信转账</t>
    <phoneticPr fontId="1" type="noConversion"/>
  </si>
  <si>
    <t>5月份提过一次未成功，6月份再争取2万</t>
    <phoneticPr fontId="1" type="noConversion"/>
  </si>
  <si>
    <t>贾晨晨</t>
    <phoneticPr fontId="1" type="noConversion"/>
  </si>
  <si>
    <t>张蓉</t>
    <phoneticPr fontId="1" type="noConversion"/>
  </si>
  <si>
    <t>欧阳鹏</t>
    <phoneticPr fontId="1" type="noConversion"/>
  </si>
  <si>
    <t>杨雷</t>
    <phoneticPr fontId="1" type="noConversion"/>
  </si>
  <si>
    <t>吴宗礼</t>
    <phoneticPr fontId="1" type="noConversion"/>
  </si>
  <si>
    <t>6月份仍没凑够的话，可以借5千</t>
    <phoneticPr fontId="1" type="noConversion"/>
  </si>
  <si>
    <t>6月份仍没凑够的话，愿意视情况帮忙</t>
    <phoneticPr fontId="1" type="noConversion"/>
  </si>
  <si>
    <t>5月底再争取5千</t>
    <phoneticPr fontId="1" type="noConversion"/>
  </si>
  <si>
    <t>目标期望</t>
    <phoneticPr fontId="1" type="noConversion"/>
  </si>
  <si>
    <t xml:space="preserve"> </t>
    <phoneticPr fontId="1" type="noConversion"/>
  </si>
  <si>
    <t>自有资金</t>
    <phoneticPr fontId="1" type="noConversion"/>
  </si>
  <si>
    <t>老爸</t>
    <phoneticPr fontId="1" type="noConversion"/>
  </si>
  <si>
    <t>合计</t>
    <phoneticPr fontId="1" type="noConversion"/>
  </si>
  <si>
    <t>实际借款总额</t>
    <phoneticPr fontId="1" type="noConversion"/>
  </si>
  <si>
    <t>电话未通，待定</t>
    <phoneticPr fontId="1" type="noConversion"/>
  </si>
  <si>
    <t>其他</t>
    <phoneticPr fontId="1" type="noConversion"/>
  </si>
  <si>
    <t>建设银行</t>
    <phoneticPr fontId="1" type="noConversion"/>
  </si>
  <si>
    <t>支付宝，6月份再争取0.5-1万</t>
    <phoneticPr fontId="1" type="noConversion"/>
  </si>
  <si>
    <t>支付宝</t>
    <phoneticPr fontId="1" type="noConversion"/>
  </si>
  <si>
    <t>自有6+大姨5+小姨2</t>
    <phoneticPr fontId="1" type="noConversion"/>
  </si>
  <si>
    <t>剩余未还金额</t>
    <phoneticPr fontId="1" type="noConversion"/>
  </si>
  <si>
    <t>备注</t>
    <phoneticPr fontId="1" type="noConversion"/>
  </si>
  <si>
    <t>支付宝转账</t>
    <phoneticPr fontId="1" type="noConversion"/>
  </si>
  <si>
    <t>建设银行转账</t>
    <phoneticPr fontId="1" type="noConversion"/>
  </si>
  <si>
    <t>工商银行转账</t>
    <phoneticPr fontId="1" type="noConversion"/>
  </si>
  <si>
    <t>微信转账</t>
    <phoneticPr fontId="1" type="noConversion"/>
  </si>
  <si>
    <t>借款总计</t>
    <phoneticPr fontId="1" type="noConversion"/>
  </si>
  <si>
    <t>工行自有7.84+支付宝自有4.93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</si>
</sst>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J16" sqref="J16"/>
    </sheetView>
  </sheetViews>
  <sheetFormatPr defaultRowHeight="13.5"/>
  <cols>
    <col min="1" max="2" width="9" style="1"/>
    <col min="3" max="3" width="36.375" style="10" customWidth="1"/>
    <col min="4" max="4" width="8.125" style="1" customWidth="1"/>
    <col min="5" max="5" width="8.375" style="1" customWidth="1"/>
    <col min="6" max="6" width="8.125" style="1" customWidth="1"/>
    <col min="7" max="7" width="12.25" style="1" customWidth="1"/>
    <col min="8" max="13" width="9" style="1"/>
    <col min="14" max="14" width="11.625" style="1" customWidth="1"/>
    <col min="15" max="16384" width="9" style="1"/>
  </cols>
  <sheetData>
    <row r="1" spans="1:14">
      <c r="A1" s="4" t="s">
        <v>0</v>
      </c>
      <c r="B1" s="15" t="s">
        <v>42</v>
      </c>
      <c r="C1" s="8" t="s">
        <v>2</v>
      </c>
      <c r="D1" s="5" t="s">
        <v>1</v>
      </c>
      <c r="E1" s="5" t="s">
        <v>4</v>
      </c>
      <c r="F1" s="5" t="s">
        <v>5</v>
      </c>
      <c r="G1" s="5" t="s">
        <v>47</v>
      </c>
      <c r="H1" s="11" t="s">
        <v>3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2" t="s">
        <v>54</v>
      </c>
    </row>
    <row r="2" spans="1:14">
      <c r="A2" s="3" t="s">
        <v>11</v>
      </c>
      <c r="B2" s="16">
        <v>3</v>
      </c>
      <c r="C2" s="9"/>
      <c r="D2" s="2"/>
      <c r="E2" s="2"/>
      <c r="F2" s="2"/>
      <c r="G2" s="6">
        <f>SUM(D2:F2)</f>
        <v>0</v>
      </c>
      <c r="H2" s="2"/>
      <c r="I2" s="2"/>
      <c r="J2" s="2"/>
      <c r="K2" s="2"/>
      <c r="L2" s="2"/>
      <c r="M2" s="2"/>
      <c r="N2" s="7">
        <f>G2-(SUM(H2:M2))</f>
        <v>0</v>
      </c>
    </row>
    <row r="3" spans="1:14">
      <c r="A3" s="3" t="s">
        <v>49</v>
      </c>
      <c r="B3" s="16">
        <v>2</v>
      </c>
      <c r="C3" s="9"/>
      <c r="D3" s="2"/>
      <c r="E3" s="2"/>
      <c r="F3" s="2"/>
      <c r="G3" s="6">
        <f t="shared" ref="G3:G5" si="0">SUM(D3:F3)</f>
        <v>0</v>
      </c>
      <c r="H3" s="2"/>
      <c r="I3" s="2"/>
      <c r="J3" s="2"/>
      <c r="K3" s="2"/>
      <c r="L3" s="2"/>
      <c r="M3" s="2"/>
      <c r="N3" s="7">
        <f t="shared" ref="N3:N5" si="1">G3-(SUM(H3:M3))</f>
        <v>0</v>
      </c>
    </row>
    <row r="4" spans="1:14">
      <c r="A4" s="3" t="s">
        <v>12</v>
      </c>
      <c r="B4" s="16">
        <v>1</v>
      </c>
      <c r="C4" s="36" t="s">
        <v>50</v>
      </c>
      <c r="D4" s="13">
        <v>0.5</v>
      </c>
      <c r="E4" s="13">
        <v>0.5</v>
      </c>
      <c r="F4" s="2"/>
      <c r="G4" s="6">
        <f t="shared" si="0"/>
        <v>1</v>
      </c>
      <c r="H4" s="2"/>
      <c r="I4" s="2"/>
      <c r="J4" s="2"/>
      <c r="K4" s="2"/>
      <c r="L4" s="2"/>
      <c r="M4" s="2"/>
      <c r="N4" s="7">
        <f t="shared" si="1"/>
        <v>1</v>
      </c>
    </row>
    <row r="5" spans="1:14">
      <c r="A5" s="3" t="s">
        <v>13</v>
      </c>
      <c r="B5" s="16">
        <v>1.5</v>
      </c>
      <c r="C5" s="37" t="s">
        <v>51</v>
      </c>
      <c r="D5" s="34">
        <v>1</v>
      </c>
      <c r="E5" s="2"/>
      <c r="F5" s="2"/>
      <c r="G5" s="6">
        <f t="shared" si="0"/>
        <v>1</v>
      </c>
      <c r="H5" s="2"/>
      <c r="I5" s="2"/>
      <c r="J5" s="2"/>
      <c r="K5" s="2"/>
      <c r="L5" s="2"/>
      <c r="M5" s="2"/>
      <c r="N5" s="7">
        <f t="shared" si="1"/>
        <v>1</v>
      </c>
    </row>
    <row r="6" spans="1:14">
      <c r="A6" s="3" t="s">
        <v>14</v>
      </c>
      <c r="B6" s="16">
        <v>0.5</v>
      </c>
      <c r="C6" s="9" t="s">
        <v>29</v>
      </c>
      <c r="D6" s="2"/>
      <c r="E6" s="2"/>
      <c r="F6" s="2"/>
      <c r="G6" s="6">
        <f t="shared" ref="G6:G24" si="2">SUM(D6:F6)</f>
        <v>0</v>
      </c>
      <c r="H6" s="2"/>
      <c r="I6" s="2"/>
      <c r="J6" s="2"/>
      <c r="K6" s="2"/>
      <c r="L6" s="2"/>
      <c r="M6" s="2"/>
      <c r="N6" s="7">
        <f t="shared" ref="N6:N25" si="3">G6-(SUM(H6:M6))</f>
        <v>0</v>
      </c>
    </row>
    <row r="7" spans="1:14">
      <c r="A7" s="2" t="s">
        <v>36</v>
      </c>
      <c r="B7" s="16">
        <v>0.5</v>
      </c>
      <c r="C7" s="10" t="s">
        <v>40</v>
      </c>
      <c r="D7" s="2"/>
      <c r="E7" s="2"/>
      <c r="F7" s="2"/>
      <c r="G7" s="6">
        <f t="shared" ref="G7:G10" si="4">SUM(D7:F7)</f>
        <v>0</v>
      </c>
      <c r="H7" s="2"/>
      <c r="I7" s="2"/>
      <c r="J7" s="2"/>
      <c r="K7" s="2"/>
      <c r="L7" s="2"/>
      <c r="M7" s="2"/>
      <c r="N7" s="7">
        <f t="shared" ref="N7:N10" si="5">G7-(SUM(H7:M7))</f>
        <v>0</v>
      </c>
    </row>
    <row r="8" spans="1:14">
      <c r="A8" s="13" t="s">
        <v>37</v>
      </c>
      <c r="B8" s="13"/>
      <c r="C8" s="9" t="s">
        <v>48</v>
      </c>
      <c r="D8" s="2"/>
      <c r="E8" s="2"/>
      <c r="F8" s="2"/>
      <c r="G8" s="6">
        <f t="shared" si="4"/>
        <v>0</v>
      </c>
      <c r="H8" s="2"/>
      <c r="I8" s="2"/>
      <c r="J8" s="2"/>
      <c r="K8" s="2"/>
      <c r="L8" s="2"/>
      <c r="M8" s="2"/>
      <c r="N8" s="7">
        <f t="shared" si="5"/>
        <v>0</v>
      </c>
    </row>
    <row r="9" spans="1:14">
      <c r="A9" s="2" t="s">
        <v>38</v>
      </c>
      <c r="B9" s="2"/>
      <c r="C9" s="9"/>
      <c r="D9" s="2"/>
      <c r="E9" s="2"/>
      <c r="F9" s="2"/>
      <c r="G9" s="6">
        <f t="shared" si="4"/>
        <v>0</v>
      </c>
      <c r="H9" s="2"/>
      <c r="I9" s="2"/>
      <c r="J9" s="2"/>
      <c r="K9" s="2"/>
      <c r="L9" s="2"/>
      <c r="M9" s="2"/>
      <c r="N9" s="7">
        <f t="shared" si="5"/>
        <v>0</v>
      </c>
    </row>
    <row r="10" spans="1:14">
      <c r="A10" s="3" t="s">
        <v>35</v>
      </c>
      <c r="B10" s="16">
        <v>0.5</v>
      </c>
      <c r="C10" s="9" t="s">
        <v>39</v>
      </c>
      <c r="D10" s="2"/>
      <c r="E10" s="2"/>
      <c r="F10" s="2"/>
      <c r="G10" s="6">
        <f t="shared" si="4"/>
        <v>0</v>
      </c>
      <c r="H10" s="2"/>
      <c r="I10" s="2"/>
      <c r="J10" s="2"/>
      <c r="K10" s="2"/>
      <c r="L10" s="2"/>
      <c r="M10" s="2"/>
      <c r="N10" s="7">
        <f t="shared" si="5"/>
        <v>0</v>
      </c>
    </row>
    <row r="11" spans="1:14">
      <c r="A11" s="35" t="s">
        <v>17</v>
      </c>
      <c r="B11" s="16">
        <v>0.5</v>
      </c>
      <c r="C11" s="37" t="s">
        <v>52</v>
      </c>
      <c r="D11" s="34">
        <v>0.5</v>
      </c>
      <c r="E11" s="2"/>
      <c r="F11" s="2"/>
      <c r="G11" s="6">
        <f t="shared" si="2"/>
        <v>0.5</v>
      </c>
      <c r="H11" s="2"/>
      <c r="I11" s="2"/>
      <c r="J11" s="2"/>
      <c r="K11" s="2"/>
      <c r="L11" s="2"/>
      <c r="M11" s="2"/>
      <c r="N11" s="7">
        <f t="shared" si="3"/>
        <v>0.5</v>
      </c>
    </row>
    <row r="12" spans="1:14">
      <c r="A12" s="14" t="s">
        <v>34</v>
      </c>
      <c r="B12" s="16"/>
      <c r="C12" s="9"/>
      <c r="D12" s="2"/>
      <c r="E12" s="2"/>
      <c r="F12" s="2"/>
      <c r="G12" s="6">
        <f t="shared" si="2"/>
        <v>0</v>
      </c>
      <c r="H12" s="2"/>
      <c r="I12" s="2"/>
      <c r="J12" s="2"/>
      <c r="K12" s="2"/>
      <c r="L12" s="2"/>
      <c r="M12" s="2"/>
      <c r="N12" s="7">
        <f t="shared" si="3"/>
        <v>0</v>
      </c>
    </row>
    <row r="13" spans="1:14">
      <c r="A13" s="35" t="s">
        <v>18</v>
      </c>
      <c r="B13" s="16">
        <v>1.5</v>
      </c>
      <c r="C13" s="37" t="s">
        <v>52</v>
      </c>
      <c r="D13" s="34">
        <v>1.6</v>
      </c>
      <c r="E13" s="2"/>
      <c r="F13" s="2"/>
      <c r="G13" s="6">
        <f t="shared" si="2"/>
        <v>1.6</v>
      </c>
      <c r="H13" s="2"/>
      <c r="I13" s="2"/>
      <c r="J13" s="2"/>
      <c r="K13" s="2"/>
      <c r="L13" s="2"/>
      <c r="M13" s="2"/>
      <c r="N13" s="7">
        <f t="shared" si="3"/>
        <v>1.6</v>
      </c>
    </row>
    <row r="14" spans="1:14">
      <c r="A14" s="14" t="s">
        <v>28</v>
      </c>
      <c r="B14" s="16">
        <v>0.5</v>
      </c>
      <c r="C14" s="9" t="s">
        <v>30</v>
      </c>
      <c r="D14" s="2"/>
      <c r="E14" s="2"/>
      <c r="F14" s="2"/>
      <c r="G14" s="6">
        <f t="shared" si="2"/>
        <v>0</v>
      </c>
      <c r="H14" s="2"/>
      <c r="I14" s="2"/>
      <c r="J14" s="2"/>
      <c r="K14" s="2"/>
      <c r="L14" s="2"/>
      <c r="M14" s="2"/>
      <c r="N14" s="7">
        <f t="shared" si="3"/>
        <v>0</v>
      </c>
    </row>
    <row r="15" spans="1:14">
      <c r="A15" s="14" t="s">
        <v>19</v>
      </c>
      <c r="B15" s="16">
        <v>0.8</v>
      </c>
      <c r="C15" s="9" t="s">
        <v>32</v>
      </c>
      <c r="D15" s="2"/>
      <c r="E15" s="2"/>
      <c r="F15" s="2"/>
      <c r="G15" s="6">
        <f t="shared" si="2"/>
        <v>0</v>
      </c>
      <c r="H15" s="2"/>
      <c r="I15" s="2"/>
      <c r="J15" s="2"/>
      <c r="K15" s="2"/>
      <c r="L15" s="2"/>
      <c r="M15" s="2"/>
      <c r="N15" s="7">
        <f t="shared" si="3"/>
        <v>0</v>
      </c>
    </row>
    <row r="16" spans="1:14">
      <c r="A16" s="14" t="s">
        <v>21</v>
      </c>
      <c r="B16" s="16">
        <v>0.5</v>
      </c>
      <c r="C16" s="9" t="s">
        <v>41</v>
      </c>
      <c r="D16" s="2"/>
      <c r="E16" s="2"/>
      <c r="F16" s="2"/>
      <c r="G16" s="6">
        <f t="shared" si="2"/>
        <v>0</v>
      </c>
      <c r="H16" s="2"/>
      <c r="I16" s="2"/>
      <c r="J16" s="2"/>
      <c r="K16" s="2"/>
      <c r="L16" s="2"/>
      <c r="M16" s="2"/>
      <c r="N16" s="7">
        <f t="shared" si="3"/>
        <v>0</v>
      </c>
    </row>
    <row r="17" spans="1:14">
      <c r="A17" s="14" t="s">
        <v>31</v>
      </c>
      <c r="B17" s="16">
        <v>1</v>
      </c>
      <c r="C17" s="9" t="s">
        <v>33</v>
      </c>
      <c r="D17" s="2"/>
      <c r="E17" s="2"/>
      <c r="F17" s="2"/>
      <c r="G17" s="6">
        <f t="shared" si="2"/>
        <v>0</v>
      </c>
      <c r="H17" s="2"/>
      <c r="I17" s="2"/>
      <c r="J17" s="2"/>
      <c r="K17" s="2"/>
      <c r="L17" s="2"/>
      <c r="M17" s="2"/>
      <c r="N17" s="7">
        <f t="shared" si="3"/>
        <v>0</v>
      </c>
    </row>
    <row r="18" spans="1:14">
      <c r="A18" s="14" t="s">
        <v>23</v>
      </c>
      <c r="B18" s="16"/>
      <c r="C18" s="9"/>
      <c r="D18" s="2"/>
      <c r="E18" s="2"/>
      <c r="F18" s="2"/>
      <c r="G18" s="6">
        <f t="shared" si="2"/>
        <v>0</v>
      </c>
      <c r="H18" s="2"/>
      <c r="I18" s="2"/>
      <c r="J18" s="2"/>
      <c r="K18" s="2"/>
      <c r="L18" s="2"/>
      <c r="M18" s="2"/>
      <c r="N18" s="7">
        <f t="shared" si="3"/>
        <v>0</v>
      </c>
    </row>
    <row r="19" spans="1:14">
      <c r="A19" s="14" t="s">
        <v>24</v>
      </c>
      <c r="B19" s="16"/>
      <c r="C19" s="9" t="s">
        <v>27</v>
      </c>
      <c r="D19" s="2"/>
      <c r="E19" s="2"/>
      <c r="F19" s="2"/>
      <c r="G19" s="6">
        <f t="shared" si="2"/>
        <v>0</v>
      </c>
      <c r="H19" s="2"/>
      <c r="I19" s="2"/>
      <c r="J19" s="2"/>
      <c r="K19" s="2"/>
      <c r="L19" s="2"/>
      <c r="M19" s="2"/>
      <c r="N19" s="7">
        <f t="shared" si="3"/>
        <v>0</v>
      </c>
    </row>
    <row r="20" spans="1:14">
      <c r="A20" s="3" t="s">
        <v>15</v>
      </c>
      <c r="B20" s="16"/>
      <c r="C20" s="9"/>
      <c r="D20" s="2"/>
      <c r="E20" s="2"/>
      <c r="F20" s="2"/>
      <c r="G20" s="6">
        <f t="shared" si="2"/>
        <v>0</v>
      </c>
      <c r="H20" s="2"/>
      <c r="I20" s="2"/>
      <c r="J20" s="2"/>
      <c r="K20" s="2"/>
      <c r="L20" s="2"/>
      <c r="M20" s="2"/>
      <c r="N20" s="7">
        <f t="shared" si="3"/>
        <v>0</v>
      </c>
    </row>
    <row r="21" spans="1:14">
      <c r="A21" s="3" t="s">
        <v>16</v>
      </c>
      <c r="B21" s="16"/>
      <c r="C21" s="9"/>
      <c r="D21" s="2"/>
      <c r="E21" s="2"/>
      <c r="F21" s="2"/>
      <c r="G21" s="6">
        <f t="shared" si="2"/>
        <v>0</v>
      </c>
      <c r="H21" s="2"/>
      <c r="I21" s="2"/>
      <c r="J21" s="2"/>
      <c r="K21" s="2"/>
      <c r="L21" s="2"/>
      <c r="M21" s="2"/>
      <c r="N21" s="7">
        <f>G21-(SUM(H21:M21))</f>
        <v>0</v>
      </c>
    </row>
    <row r="22" spans="1:14">
      <c r="A22" s="3" t="s">
        <v>20</v>
      </c>
      <c r="B22" s="16"/>
      <c r="C22" s="9" t="s">
        <v>43</v>
      </c>
      <c r="D22" s="2"/>
      <c r="E22" s="2"/>
      <c r="F22" s="2"/>
      <c r="G22" s="6">
        <f t="shared" si="2"/>
        <v>0</v>
      </c>
      <c r="H22" s="2"/>
      <c r="I22" s="2"/>
      <c r="J22" s="2"/>
      <c r="K22" s="2"/>
      <c r="L22" s="2"/>
      <c r="M22" s="2"/>
      <c r="N22" s="7">
        <f>G22-(SUM(H22:M22))</f>
        <v>0</v>
      </c>
    </row>
    <row r="23" spans="1:14">
      <c r="A23" s="3" t="s">
        <v>22</v>
      </c>
      <c r="B23" s="16"/>
      <c r="C23" s="9"/>
      <c r="D23" s="2"/>
      <c r="E23" s="2"/>
      <c r="F23" s="2"/>
      <c r="G23" s="6">
        <f t="shared" si="2"/>
        <v>0</v>
      </c>
      <c r="H23" s="2"/>
      <c r="I23" s="2"/>
      <c r="J23" s="2"/>
      <c r="K23" s="2"/>
      <c r="L23" s="2"/>
      <c r="M23" s="2"/>
      <c r="N23" s="7">
        <f>G23-(SUM(H23:M23))</f>
        <v>0</v>
      </c>
    </row>
    <row r="24" spans="1:14">
      <c r="A24" s="3" t="s">
        <v>25</v>
      </c>
      <c r="B24" s="16"/>
      <c r="C24" s="9"/>
      <c r="D24" s="2"/>
      <c r="E24" s="2"/>
      <c r="F24" s="2"/>
      <c r="G24" s="6">
        <f t="shared" si="2"/>
        <v>0</v>
      </c>
      <c r="H24" s="2"/>
      <c r="I24" s="2"/>
      <c r="J24" s="2"/>
      <c r="K24" s="2"/>
      <c r="L24" s="2"/>
      <c r="M24" s="2"/>
      <c r="N24" s="7">
        <f t="shared" si="3"/>
        <v>0</v>
      </c>
    </row>
    <row r="25" spans="1:14">
      <c r="A25" s="3" t="s">
        <v>26</v>
      </c>
      <c r="B25" s="16"/>
      <c r="C25" s="9"/>
      <c r="D25" s="2"/>
      <c r="E25" s="2"/>
      <c r="F25" s="2"/>
      <c r="G25" s="6">
        <f>SUM(D25:F25)</f>
        <v>0</v>
      </c>
      <c r="H25" s="2"/>
      <c r="I25" s="2"/>
      <c r="J25" s="2"/>
      <c r="K25" s="2"/>
      <c r="L25" s="2"/>
      <c r="M25" s="2"/>
      <c r="N25" s="7">
        <f t="shared" si="3"/>
        <v>0</v>
      </c>
    </row>
    <row r="26" spans="1:14" ht="14.25" thickBot="1">
      <c r="A26" s="17" t="s">
        <v>60</v>
      </c>
      <c r="B26" s="18">
        <f>SUM(B2:B25)</f>
        <v>13.8</v>
      </c>
      <c r="C26" s="19"/>
      <c r="D26" s="20"/>
      <c r="E26" s="20"/>
      <c r="F26" s="20"/>
      <c r="G26" s="20">
        <f>SUM(G2:G25)</f>
        <v>4.0999999999999996</v>
      </c>
      <c r="H26" s="20"/>
      <c r="I26" s="20"/>
      <c r="J26" s="20"/>
      <c r="K26" s="20"/>
      <c r="L26" s="20"/>
      <c r="M26" s="20"/>
      <c r="N26" s="21">
        <f>SUM(N2:N25)</f>
        <v>4.0999999999999996</v>
      </c>
    </row>
    <row r="27" spans="1:14">
      <c r="A27" s="22" t="s">
        <v>44</v>
      </c>
      <c r="B27" s="11">
        <v>13.5</v>
      </c>
      <c r="C27" s="24" t="s">
        <v>61</v>
      </c>
      <c r="D27" s="23"/>
      <c r="E27" s="23"/>
      <c r="F27" s="23"/>
      <c r="G27" s="11">
        <v>12.7</v>
      </c>
      <c r="H27" s="23"/>
      <c r="I27" s="23"/>
      <c r="J27" s="23"/>
      <c r="K27" s="23"/>
      <c r="L27" s="23"/>
      <c r="M27" s="23"/>
      <c r="N27" s="25"/>
    </row>
    <row r="28" spans="1:14">
      <c r="A28" s="3" t="s">
        <v>45</v>
      </c>
      <c r="B28" s="31">
        <v>13</v>
      </c>
      <c r="C28" s="9" t="s">
        <v>53</v>
      </c>
      <c r="D28" s="2"/>
      <c r="E28" s="2"/>
      <c r="F28" s="2"/>
      <c r="G28" s="31">
        <v>0</v>
      </c>
      <c r="H28" s="2"/>
      <c r="I28" s="2"/>
      <c r="J28" s="2"/>
      <c r="K28" s="2"/>
      <c r="L28" s="2"/>
      <c r="M28" s="2"/>
      <c r="N28" s="26"/>
    </row>
    <row r="29" spans="1:14" ht="14.25" thickBot="1">
      <c r="A29" s="27" t="s">
        <v>46</v>
      </c>
      <c r="B29" s="28">
        <f>SUM(B26:B28)</f>
        <v>40.299999999999997</v>
      </c>
      <c r="C29" s="29"/>
      <c r="D29" s="28"/>
      <c r="E29" s="28"/>
      <c r="F29" s="28"/>
      <c r="G29" s="28">
        <f>SUM(G26:G28)</f>
        <v>16.799999999999997</v>
      </c>
      <c r="H29" s="28"/>
      <c r="I29" s="28"/>
      <c r="J29" s="28"/>
      <c r="K29" s="28"/>
      <c r="L29" s="28"/>
      <c r="M29" s="28"/>
      <c r="N29" s="30"/>
    </row>
    <row r="31" spans="1:14">
      <c r="A31" s="38" t="s">
        <v>55</v>
      </c>
      <c r="B31" s="34"/>
      <c r="C31" s="9" t="s">
        <v>56</v>
      </c>
    </row>
    <row r="32" spans="1:14">
      <c r="A32" s="39"/>
      <c r="B32" s="13"/>
      <c r="C32" s="9" t="s">
        <v>57</v>
      </c>
    </row>
    <row r="33" spans="1:3">
      <c r="A33" s="39"/>
      <c r="B33" s="32"/>
      <c r="C33" s="9" t="s">
        <v>58</v>
      </c>
    </row>
    <row r="34" spans="1:3">
      <c r="A34" s="40"/>
      <c r="B34" s="33"/>
      <c r="C34" s="9" t="s">
        <v>59</v>
      </c>
    </row>
  </sheetData>
  <mergeCells count="1">
    <mergeCell ref="A31:A34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2018-05-28T14:26:42Z</dcterms:modified>
</cp:coreProperties>
</file>