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0" yWindow="90" windowWidth="19200" windowHeight="11640" tabRatio="178"/>
  </bookViews>
  <sheets>
    <sheet name="Sheet1" sheetId="1" r:id="rId1"/>
  </sheets>
  <calcPr calcId="125725"/>
</workbook>
</file>

<file path=xl/calcChain.xml><?xml version="1.0" encoding="utf-8"?>
<calcChain xmlns="http://schemas.openxmlformats.org/spreadsheetml/2006/main">
  <c r="G3" i="1"/>
  <c r="N3" s="1"/>
  <c r="G4"/>
  <c r="N4" s="1"/>
  <c r="G5"/>
  <c r="N5" s="1"/>
  <c r="G16"/>
  <c r="N16" s="1"/>
  <c r="G15"/>
  <c r="N15" s="1"/>
  <c r="G14"/>
  <c r="N14" s="1"/>
  <c r="G13"/>
  <c r="N13" s="1"/>
  <c r="G8"/>
  <c r="N8" s="1"/>
  <c r="G12"/>
  <c r="N12" s="1"/>
  <c r="B17"/>
  <c r="B20" s="1"/>
  <c r="G11"/>
  <c r="N11" s="1"/>
  <c r="G10"/>
  <c r="N10" s="1"/>
  <c r="G9"/>
  <c r="N9" s="1"/>
  <c r="G6"/>
  <c r="N6" s="1"/>
  <c r="G7"/>
  <c r="N7" s="1"/>
  <c r="G2"/>
  <c r="N2" s="1"/>
  <c r="N17" l="1"/>
  <c r="G17"/>
  <c r="G20" s="1"/>
</calcChain>
</file>

<file path=xl/comments1.xml><?xml version="1.0" encoding="utf-8"?>
<comments xmlns="http://schemas.openxmlformats.org/spreadsheetml/2006/main">
  <authors>
    <author>作者</author>
  </authors>
  <commentList>
    <comment ref="D4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宋体"/>
            <family val="3"/>
            <charset val="134"/>
          </rPr>
          <t>日建行转账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E4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日建行转账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D5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2018.5.3</t>
        </r>
        <r>
          <rPr>
            <sz val="9"/>
            <color indexed="81"/>
            <rFont val="宋体"/>
            <family val="3"/>
            <charset val="134"/>
          </rPr>
          <t xml:space="preserve">支付宝转账
</t>
        </r>
      </text>
    </comment>
    <comment ref="D6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宋体"/>
            <family val="3"/>
            <charset val="134"/>
          </rPr>
          <t>日支付宝转账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D7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23</t>
        </r>
        <r>
          <rPr>
            <sz val="9"/>
            <color indexed="81"/>
            <rFont val="宋体"/>
            <family val="3"/>
            <charset val="134"/>
          </rPr>
          <t>日支付宝转账一万六千元</t>
        </r>
      </text>
    </comment>
    <comment ref="D8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2018.5.31</t>
        </r>
        <r>
          <rPr>
            <sz val="9"/>
            <color indexed="81"/>
            <rFont val="宋体"/>
            <family val="3"/>
            <charset val="134"/>
          </rPr>
          <t>微信转账八千五</t>
        </r>
      </text>
    </comment>
  </commentList>
</comments>
</file>

<file path=xl/sharedStrings.xml><?xml version="1.0" encoding="utf-8"?>
<sst xmlns="http://schemas.openxmlformats.org/spreadsheetml/2006/main" count="52" uniqueCount="51">
  <si>
    <t>姓名</t>
    <phoneticPr fontId="1" type="noConversion"/>
  </si>
  <si>
    <t>A轮借款</t>
    <phoneticPr fontId="1" type="noConversion"/>
  </si>
  <si>
    <t>备注</t>
    <phoneticPr fontId="1" type="noConversion"/>
  </si>
  <si>
    <t>A轮还款</t>
    <phoneticPr fontId="1" type="noConversion"/>
  </si>
  <si>
    <t>B轮借款</t>
    <phoneticPr fontId="1" type="noConversion"/>
  </si>
  <si>
    <t>C轮借款</t>
    <phoneticPr fontId="1" type="noConversion"/>
  </si>
  <si>
    <t>B轮还款</t>
    <phoneticPr fontId="1" type="noConversion"/>
  </si>
  <si>
    <t>C轮还款</t>
    <phoneticPr fontId="1" type="noConversion"/>
  </si>
  <si>
    <t>D轮还款</t>
    <phoneticPr fontId="1" type="noConversion"/>
  </si>
  <si>
    <t>E轮还款</t>
    <phoneticPr fontId="1" type="noConversion"/>
  </si>
  <si>
    <t>F轮还款</t>
    <phoneticPr fontId="1" type="noConversion"/>
  </si>
  <si>
    <t>曾金柱</t>
    <phoneticPr fontId="1" type="noConversion"/>
  </si>
  <si>
    <t>汤黎</t>
    <phoneticPr fontId="1" type="noConversion"/>
  </si>
  <si>
    <t>黄锦宝</t>
    <phoneticPr fontId="1" type="noConversion"/>
  </si>
  <si>
    <t>余斌</t>
    <phoneticPr fontId="1" type="noConversion"/>
  </si>
  <si>
    <t>杨小云</t>
    <phoneticPr fontId="1" type="noConversion"/>
  </si>
  <si>
    <t>朱甜</t>
    <phoneticPr fontId="1" type="noConversion"/>
  </si>
  <si>
    <t>罗纯</t>
    <phoneticPr fontId="1" type="noConversion"/>
  </si>
  <si>
    <t>陈语嫣</t>
    <phoneticPr fontId="1" type="noConversion"/>
  </si>
  <si>
    <t>孟翠</t>
    <phoneticPr fontId="1" type="noConversion"/>
  </si>
  <si>
    <t>李胜营</t>
    <phoneticPr fontId="1" type="noConversion"/>
  </si>
  <si>
    <t>5.3提过一次未成功，6月份再争取5千</t>
    <phoneticPr fontId="1" type="noConversion"/>
  </si>
  <si>
    <t>李育</t>
    <phoneticPr fontId="1" type="noConversion"/>
  </si>
  <si>
    <t>预定5千，6月10号左右电话催收</t>
    <phoneticPr fontId="1" type="noConversion"/>
  </si>
  <si>
    <t>5月份提过一次未成功，6月份再争取5千</t>
    <phoneticPr fontId="1" type="noConversion"/>
  </si>
  <si>
    <t>张兆景</t>
    <phoneticPr fontId="1" type="noConversion"/>
  </si>
  <si>
    <t>5月份提过一次未成功，6月份再争取2万</t>
    <phoneticPr fontId="1" type="noConversion"/>
  </si>
  <si>
    <t>张蓉</t>
    <phoneticPr fontId="1" type="noConversion"/>
  </si>
  <si>
    <t>欧阳鹏</t>
    <phoneticPr fontId="1" type="noConversion"/>
  </si>
  <si>
    <t>6月份仍没凑够的话，可以借5千</t>
    <phoneticPr fontId="1" type="noConversion"/>
  </si>
  <si>
    <t>6月份仍没凑够的话，愿意视情况帮忙</t>
    <phoneticPr fontId="1" type="noConversion"/>
  </si>
  <si>
    <t>5月底再争取5千</t>
    <phoneticPr fontId="1" type="noConversion"/>
  </si>
  <si>
    <t>目标期望</t>
    <phoneticPr fontId="1" type="noConversion"/>
  </si>
  <si>
    <t>自有资金</t>
    <phoneticPr fontId="1" type="noConversion"/>
  </si>
  <si>
    <t>老爸</t>
    <phoneticPr fontId="1" type="noConversion"/>
  </si>
  <si>
    <t>合计</t>
    <phoneticPr fontId="1" type="noConversion"/>
  </si>
  <si>
    <t>实际借款总额</t>
    <phoneticPr fontId="1" type="noConversion"/>
  </si>
  <si>
    <t>其他</t>
    <phoneticPr fontId="1" type="noConversion"/>
  </si>
  <si>
    <t>建设银行</t>
    <phoneticPr fontId="1" type="noConversion"/>
  </si>
  <si>
    <t>支付宝，6月份再争取0.5-1万</t>
    <phoneticPr fontId="1" type="noConversion"/>
  </si>
  <si>
    <t>支付宝</t>
    <phoneticPr fontId="1" type="noConversion"/>
  </si>
  <si>
    <t>自有6+大姨5+小姨2</t>
    <phoneticPr fontId="1" type="noConversion"/>
  </si>
  <si>
    <t>剩余未还金额</t>
    <phoneticPr fontId="1" type="noConversion"/>
  </si>
  <si>
    <t>备注</t>
    <phoneticPr fontId="1" type="noConversion"/>
  </si>
  <si>
    <t>支付宝转账</t>
    <phoneticPr fontId="1" type="noConversion"/>
  </si>
  <si>
    <t>建设银行转账</t>
    <phoneticPr fontId="1" type="noConversion"/>
  </si>
  <si>
    <t>工商银行转账</t>
    <phoneticPr fontId="1" type="noConversion"/>
  </si>
  <si>
    <t>微信转账</t>
    <phoneticPr fontId="1" type="noConversion"/>
  </si>
  <si>
    <t>借款总计</t>
    <phoneticPr fontId="1" type="noConversion"/>
  </si>
  <si>
    <t>工行自有7.84+支付宝自有4.93</t>
    <phoneticPr fontId="1" type="noConversion"/>
  </si>
  <si>
    <t>微信</t>
    <phoneticPr fontId="1" type="noConversion"/>
  </si>
</sst>
</file>

<file path=xl/styles.xml><?xml version="1.0" encoding="utf-8"?>
<styleSheet xmlns="http://schemas.openxmlformats.org/spreadsheetml/2006/main">
  <fonts count="5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left" vertical="center" wrapText="1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8" xfId="0" applyFill="1" applyBorder="1" applyAlignment="1">
      <alignment horizontal="left" vertical="center" wrapText="1"/>
    </xf>
    <xf numFmtId="0" fontId="0" fillId="4" borderId="9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 wrapText="1"/>
    </xf>
    <xf numFmtId="0" fontId="0" fillId="8" borderId="1" xfId="0" applyFill="1" applyBorder="1" applyAlignment="1">
      <alignment horizontal="left" vertical="center" wrapText="1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1" xfId="0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2" sqref="E12"/>
    </sheetView>
  </sheetViews>
  <sheetFormatPr defaultRowHeight="13.5"/>
  <cols>
    <col min="1" max="2" width="9" style="1"/>
    <col min="3" max="3" width="36.375" style="10" customWidth="1"/>
    <col min="4" max="4" width="8.125" style="1" customWidth="1"/>
    <col min="5" max="5" width="8.375" style="1" customWidth="1"/>
    <col min="6" max="6" width="8.125" style="1" customWidth="1"/>
    <col min="7" max="7" width="12.25" style="1" customWidth="1"/>
    <col min="8" max="13" width="9" style="1"/>
    <col min="14" max="14" width="11.625" style="1" customWidth="1"/>
    <col min="15" max="16384" width="9" style="1"/>
  </cols>
  <sheetData>
    <row r="1" spans="1:14">
      <c r="A1" s="4" t="s">
        <v>0</v>
      </c>
      <c r="B1" s="15" t="s">
        <v>32</v>
      </c>
      <c r="C1" s="8" t="s">
        <v>2</v>
      </c>
      <c r="D1" s="5" t="s">
        <v>1</v>
      </c>
      <c r="E1" s="5" t="s">
        <v>4</v>
      </c>
      <c r="F1" s="5" t="s">
        <v>5</v>
      </c>
      <c r="G1" s="5" t="s">
        <v>36</v>
      </c>
      <c r="H1" s="11" t="s">
        <v>3</v>
      </c>
      <c r="I1" s="11" t="s">
        <v>6</v>
      </c>
      <c r="J1" s="11" t="s">
        <v>7</v>
      </c>
      <c r="K1" s="11" t="s">
        <v>8</v>
      </c>
      <c r="L1" s="11" t="s">
        <v>9</v>
      </c>
      <c r="M1" s="11" t="s">
        <v>10</v>
      </c>
      <c r="N1" s="12" t="s">
        <v>42</v>
      </c>
    </row>
    <row r="2" spans="1:14">
      <c r="A2" s="3" t="s">
        <v>11</v>
      </c>
      <c r="B2" s="16">
        <v>3</v>
      </c>
      <c r="C2" s="9"/>
      <c r="D2" s="2"/>
      <c r="E2" s="2"/>
      <c r="F2" s="2"/>
      <c r="G2" s="6">
        <f>SUM(D2:F2)</f>
        <v>0</v>
      </c>
      <c r="H2" s="2"/>
      <c r="I2" s="2"/>
      <c r="J2" s="2"/>
      <c r="K2" s="2"/>
      <c r="L2" s="2"/>
      <c r="M2" s="2"/>
      <c r="N2" s="7">
        <f>G2-(SUM(H2:M2))</f>
        <v>0</v>
      </c>
    </row>
    <row r="3" spans="1:14">
      <c r="A3" s="3" t="s">
        <v>37</v>
      </c>
      <c r="B3" s="16">
        <v>2</v>
      </c>
      <c r="C3" s="9"/>
      <c r="D3" s="2"/>
      <c r="E3" s="2"/>
      <c r="F3" s="2"/>
      <c r="G3" s="6">
        <f t="shared" ref="G3:G5" si="0">SUM(D3:F3)</f>
        <v>0</v>
      </c>
      <c r="H3" s="2"/>
      <c r="I3" s="2"/>
      <c r="J3" s="2"/>
      <c r="K3" s="2"/>
      <c r="L3" s="2"/>
      <c r="M3" s="2"/>
      <c r="N3" s="7">
        <f t="shared" ref="N3:N5" si="1">G3-(SUM(H3:M3))</f>
        <v>0</v>
      </c>
    </row>
    <row r="4" spans="1:14">
      <c r="A4" s="3" t="s">
        <v>12</v>
      </c>
      <c r="B4" s="16">
        <v>1</v>
      </c>
      <c r="C4" s="36" t="s">
        <v>38</v>
      </c>
      <c r="D4" s="13">
        <v>0.5</v>
      </c>
      <c r="E4" s="13">
        <v>0.5</v>
      </c>
      <c r="F4" s="2"/>
      <c r="G4" s="6">
        <f t="shared" si="0"/>
        <v>1</v>
      </c>
      <c r="H4" s="2"/>
      <c r="I4" s="2"/>
      <c r="J4" s="2"/>
      <c r="K4" s="2"/>
      <c r="L4" s="2"/>
      <c r="M4" s="2"/>
      <c r="N4" s="7">
        <f t="shared" si="1"/>
        <v>1</v>
      </c>
    </row>
    <row r="5" spans="1:14">
      <c r="A5" s="3" t="s">
        <v>13</v>
      </c>
      <c r="B5" s="16">
        <v>1.5</v>
      </c>
      <c r="C5" s="37" t="s">
        <v>39</v>
      </c>
      <c r="D5" s="34">
        <v>1</v>
      </c>
      <c r="E5" s="2"/>
      <c r="F5" s="2"/>
      <c r="G5" s="6">
        <f t="shared" si="0"/>
        <v>1</v>
      </c>
      <c r="H5" s="2"/>
      <c r="I5" s="2"/>
      <c r="J5" s="2"/>
      <c r="K5" s="2"/>
      <c r="L5" s="2"/>
      <c r="M5" s="2"/>
      <c r="N5" s="7">
        <f t="shared" si="1"/>
        <v>1</v>
      </c>
    </row>
    <row r="6" spans="1:14">
      <c r="A6" s="35" t="s">
        <v>15</v>
      </c>
      <c r="B6" s="16">
        <v>0.5</v>
      </c>
      <c r="C6" s="37" t="s">
        <v>40</v>
      </c>
      <c r="D6" s="34">
        <v>0.5</v>
      </c>
      <c r="E6" s="2"/>
      <c r="F6" s="2"/>
      <c r="G6" s="6">
        <f>SUM(D6:F6)</f>
        <v>0.5</v>
      </c>
      <c r="H6" s="2"/>
      <c r="I6" s="2"/>
      <c r="J6" s="2"/>
      <c r="K6" s="2"/>
      <c r="L6" s="2"/>
      <c r="M6" s="2"/>
      <c r="N6" s="7">
        <f>G6-(SUM(H6:M6))</f>
        <v>0.5</v>
      </c>
    </row>
    <row r="7" spans="1:14">
      <c r="A7" s="35" t="s">
        <v>16</v>
      </c>
      <c r="B7" s="16">
        <v>1.5</v>
      </c>
      <c r="C7" s="37" t="s">
        <v>40</v>
      </c>
      <c r="D7" s="34">
        <v>1.6</v>
      </c>
      <c r="E7" s="2"/>
      <c r="F7" s="2"/>
      <c r="G7" s="6">
        <f>SUM(D7:F7)</f>
        <v>1.6</v>
      </c>
      <c r="H7" s="2"/>
      <c r="I7" s="2"/>
      <c r="J7" s="2"/>
      <c r="K7" s="2"/>
      <c r="L7" s="2"/>
      <c r="M7" s="2"/>
      <c r="N7" s="7">
        <f>G7-(SUM(H7:M7))</f>
        <v>1.6</v>
      </c>
    </row>
    <row r="8" spans="1:14">
      <c r="A8" s="35" t="s">
        <v>17</v>
      </c>
      <c r="B8" s="16">
        <v>0.8</v>
      </c>
      <c r="C8" s="41" t="s">
        <v>50</v>
      </c>
      <c r="D8" s="33">
        <v>0.85</v>
      </c>
      <c r="E8" s="2"/>
      <c r="F8" s="2"/>
      <c r="G8" s="6">
        <f>SUM(D8:F8)</f>
        <v>0.85</v>
      </c>
      <c r="H8" s="2"/>
      <c r="I8" s="2"/>
      <c r="J8" s="2"/>
      <c r="K8" s="2"/>
      <c r="L8" s="2"/>
      <c r="M8" s="2"/>
      <c r="N8" s="7">
        <f>G8-(SUM(H8:M8))</f>
        <v>0.85</v>
      </c>
    </row>
    <row r="9" spans="1:14">
      <c r="A9" s="3" t="s">
        <v>14</v>
      </c>
      <c r="B9" s="16">
        <v>0.5</v>
      </c>
      <c r="C9" s="9" t="s">
        <v>23</v>
      </c>
      <c r="D9" s="2"/>
      <c r="E9" s="2"/>
      <c r="F9" s="2"/>
      <c r="G9" s="6">
        <f t="shared" ref="G9:G16" si="2">SUM(D9:F9)</f>
        <v>0</v>
      </c>
      <c r="H9" s="2"/>
      <c r="I9" s="2"/>
      <c r="J9" s="2"/>
      <c r="K9" s="2"/>
      <c r="L9" s="2"/>
      <c r="M9" s="2"/>
      <c r="N9" s="7">
        <f t="shared" ref="N9:N16" si="3">G9-(SUM(H9:M9))</f>
        <v>0</v>
      </c>
    </row>
    <row r="10" spans="1:14">
      <c r="A10" s="2" t="s">
        <v>28</v>
      </c>
      <c r="B10" s="16">
        <v>0.5</v>
      </c>
      <c r="C10" s="10" t="s">
        <v>30</v>
      </c>
      <c r="D10" s="2"/>
      <c r="E10" s="2"/>
      <c r="F10" s="2"/>
      <c r="G10" s="6">
        <f t="shared" ref="G10:G11" si="4">SUM(D10:F10)</f>
        <v>0</v>
      </c>
      <c r="H10" s="2"/>
      <c r="I10" s="2"/>
      <c r="J10" s="2"/>
      <c r="K10" s="2"/>
      <c r="L10" s="2"/>
      <c r="M10" s="2"/>
      <c r="N10" s="7">
        <f t="shared" ref="N10:N11" si="5">G10-(SUM(H10:M10))</f>
        <v>0</v>
      </c>
    </row>
    <row r="11" spans="1:14">
      <c r="A11" s="3" t="s">
        <v>27</v>
      </c>
      <c r="B11" s="16">
        <v>0.5</v>
      </c>
      <c r="C11" s="9" t="s">
        <v>29</v>
      </c>
      <c r="D11" s="2"/>
      <c r="E11" s="2"/>
      <c r="F11" s="2"/>
      <c r="G11" s="6">
        <f t="shared" si="4"/>
        <v>0</v>
      </c>
      <c r="H11" s="2"/>
      <c r="I11" s="2"/>
      <c r="J11" s="2"/>
      <c r="K11" s="2"/>
      <c r="L11" s="2"/>
      <c r="M11" s="2"/>
      <c r="N11" s="7">
        <f t="shared" si="5"/>
        <v>0</v>
      </c>
    </row>
    <row r="12" spans="1:14">
      <c r="A12" s="14" t="s">
        <v>22</v>
      </c>
      <c r="B12" s="16">
        <v>0.5</v>
      </c>
      <c r="C12" s="9" t="s">
        <v>24</v>
      </c>
      <c r="D12" s="2"/>
      <c r="E12" s="2"/>
      <c r="F12" s="2"/>
      <c r="G12" s="6">
        <f t="shared" si="2"/>
        <v>0</v>
      </c>
      <c r="H12" s="2"/>
      <c r="I12" s="2"/>
      <c r="J12" s="2"/>
      <c r="K12" s="2"/>
      <c r="L12" s="2"/>
      <c r="M12" s="2"/>
      <c r="N12" s="7">
        <f t="shared" si="3"/>
        <v>0</v>
      </c>
    </row>
    <row r="13" spans="1:14">
      <c r="A13" s="14" t="s">
        <v>18</v>
      </c>
      <c r="B13" s="16">
        <v>0.5</v>
      </c>
      <c r="C13" s="9" t="s">
        <v>31</v>
      </c>
      <c r="D13" s="2"/>
      <c r="E13" s="2"/>
      <c r="F13" s="2"/>
      <c r="G13" s="6">
        <f t="shared" si="2"/>
        <v>0</v>
      </c>
      <c r="H13" s="2"/>
      <c r="I13" s="2"/>
      <c r="J13" s="2"/>
      <c r="K13" s="2"/>
      <c r="L13" s="2"/>
      <c r="M13" s="2"/>
      <c r="N13" s="7">
        <f t="shared" si="3"/>
        <v>0</v>
      </c>
    </row>
    <row r="14" spans="1:14">
      <c r="A14" s="14" t="s">
        <v>25</v>
      </c>
      <c r="B14" s="16">
        <v>1</v>
      </c>
      <c r="C14" s="9" t="s">
        <v>26</v>
      </c>
      <c r="D14" s="2"/>
      <c r="E14" s="2"/>
      <c r="F14" s="2"/>
      <c r="G14" s="6">
        <f t="shared" si="2"/>
        <v>0</v>
      </c>
      <c r="H14" s="2"/>
      <c r="I14" s="2"/>
      <c r="J14" s="2"/>
      <c r="K14" s="2"/>
      <c r="L14" s="2"/>
      <c r="M14" s="2"/>
      <c r="N14" s="7">
        <f t="shared" si="3"/>
        <v>0</v>
      </c>
    </row>
    <row r="15" spans="1:14">
      <c r="A15" s="14" t="s">
        <v>19</v>
      </c>
      <c r="B15" s="16"/>
      <c r="C15" s="9"/>
      <c r="D15" s="2"/>
      <c r="E15" s="2"/>
      <c r="F15" s="2"/>
      <c r="G15" s="6">
        <f t="shared" si="2"/>
        <v>0</v>
      </c>
      <c r="H15" s="2"/>
      <c r="I15" s="2"/>
      <c r="J15" s="2"/>
      <c r="K15" s="2"/>
      <c r="L15" s="2"/>
      <c r="M15" s="2"/>
      <c r="N15" s="7">
        <f t="shared" si="3"/>
        <v>0</v>
      </c>
    </row>
    <row r="16" spans="1:14">
      <c r="A16" s="14" t="s">
        <v>20</v>
      </c>
      <c r="B16" s="16"/>
      <c r="C16" s="9" t="s">
        <v>21</v>
      </c>
      <c r="D16" s="2"/>
      <c r="E16" s="2"/>
      <c r="F16" s="2"/>
      <c r="G16" s="6">
        <f t="shared" si="2"/>
        <v>0</v>
      </c>
      <c r="H16" s="2"/>
      <c r="I16" s="2"/>
      <c r="J16" s="2"/>
      <c r="K16" s="2"/>
      <c r="L16" s="2"/>
      <c r="M16" s="2"/>
      <c r="N16" s="7">
        <f t="shared" si="3"/>
        <v>0</v>
      </c>
    </row>
    <row r="17" spans="1:14" ht="14.25" thickBot="1">
      <c r="A17" s="17" t="s">
        <v>48</v>
      </c>
      <c r="B17" s="18">
        <f>SUM(B2:B16)</f>
        <v>13.8</v>
      </c>
      <c r="C17" s="19"/>
      <c r="D17" s="20"/>
      <c r="E17" s="20"/>
      <c r="F17" s="20"/>
      <c r="G17" s="20">
        <f>SUM(G2:G16)</f>
        <v>4.9499999999999993</v>
      </c>
      <c r="H17" s="20"/>
      <c r="I17" s="20"/>
      <c r="J17" s="20"/>
      <c r="K17" s="20"/>
      <c r="L17" s="20"/>
      <c r="M17" s="20"/>
      <c r="N17" s="21">
        <f>SUM(N2:N16)</f>
        <v>4.9499999999999993</v>
      </c>
    </row>
    <row r="18" spans="1:14">
      <c r="A18" s="22" t="s">
        <v>33</v>
      </c>
      <c r="B18" s="11">
        <v>13.5</v>
      </c>
      <c r="C18" s="24" t="s">
        <v>49</v>
      </c>
      <c r="D18" s="23"/>
      <c r="E18" s="23"/>
      <c r="F18" s="23"/>
      <c r="G18" s="11">
        <v>12.7</v>
      </c>
      <c r="H18" s="23"/>
      <c r="I18" s="23"/>
      <c r="J18" s="23"/>
      <c r="K18" s="23"/>
      <c r="L18" s="23"/>
      <c r="M18" s="23"/>
      <c r="N18" s="25"/>
    </row>
    <row r="19" spans="1:14">
      <c r="A19" s="3" t="s">
        <v>34</v>
      </c>
      <c r="B19" s="31">
        <v>13</v>
      </c>
      <c r="C19" s="9" t="s">
        <v>41</v>
      </c>
      <c r="D19" s="2"/>
      <c r="E19" s="2"/>
      <c r="F19" s="2"/>
      <c r="G19" s="31">
        <v>0</v>
      </c>
      <c r="H19" s="2"/>
      <c r="I19" s="2"/>
      <c r="J19" s="2"/>
      <c r="K19" s="2"/>
      <c r="L19" s="2"/>
      <c r="M19" s="2"/>
      <c r="N19" s="26"/>
    </row>
    <row r="20" spans="1:14" ht="14.25" thickBot="1">
      <c r="A20" s="27" t="s">
        <v>35</v>
      </c>
      <c r="B20" s="28">
        <f>SUM(B17:B19)</f>
        <v>40.299999999999997</v>
      </c>
      <c r="C20" s="29"/>
      <c r="D20" s="28"/>
      <c r="E20" s="28"/>
      <c r="F20" s="28"/>
      <c r="G20" s="28">
        <f>SUM(G17:G19)</f>
        <v>17.649999999999999</v>
      </c>
      <c r="H20" s="28"/>
      <c r="I20" s="28"/>
      <c r="J20" s="28"/>
      <c r="K20" s="28"/>
      <c r="L20" s="28"/>
      <c r="M20" s="28"/>
      <c r="N20" s="30"/>
    </row>
    <row r="22" spans="1:14">
      <c r="A22" s="38" t="s">
        <v>43</v>
      </c>
      <c r="B22" s="34"/>
      <c r="C22" s="9" t="s">
        <v>44</v>
      </c>
    </row>
    <row r="23" spans="1:14">
      <c r="A23" s="39"/>
      <c r="B23" s="13"/>
      <c r="C23" s="9" t="s">
        <v>45</v>
      </c>
    </row>
    <row r="24" spans="1:14">
      <c r="A24" s="39"/>
      <c r="B24" s="32"/>
      <c r="C24" s="9" t="s">
        <v>46</v>
      </c>
    </row>
    <row r="25" spans="1:14">
      <c r="A25" s="40"/>
      <c r="B25" s="33"/>
      <c r="C25" s="9" t="s">
        <v>47</v>
      </c>
    </row>
  </sheetData>
  <mergeCells count="1">
    <mergeCell ref="A22:A25"/>
  </mergeCells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2018-05-31T13:09:48Z</dcterms:modified>
</cp:coreProperties>
</file>