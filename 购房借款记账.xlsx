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 tabRatio="178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O17" i="1"/>
  <c r="O9"/>
  <c r="O10"/>
  <c r="O11"/>
  <c r="O12"/>
  <c r="O13"/>
  <c r="O14"/>
  <c r="O15"/>
  <c r="O16"/>
  <c r="D10"/>
  <c r="D11"/>
  <c r="D12"/>
  <c r="D13"/>
  <c r="D14"/>
  <c r="D15"/>
  <c r="D16"/>
  <c r="D18"/>
  <c r="D19"/>
  <c r="D9"/>
  <c r="D2"/>
  <c r="O2" s="1"/>
  <c r="D3"/>
  <c r="O3" s="1"/>
  <c r="D6"/>
  <c r="O6" s="1"/>
  <c r="D8"/>
  <c r="O8" s="1"/>
  <c r="D7"/>
  <c r="O7" s="1"/>
  <c r="D4"/>
  <c r="O4" s="1"/>
  <c r="D5"/>
  <c r="O5" s="1"/>
  <c r="D17" l="1"/>
  <c r="D20" s="1"/>
</calcChain>
</file>

<file path=xl/comments1.xml><?xml version="1.0" encoding="utf-8"?>
<comments xmlns="http://schemas.openxmlformats.org/spreadsheetml/2006/main">
  <authors>
    <author>作者</author>
  </authors>
  <commentList>
    <comment ref="B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C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B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  <comment ref="B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宋体"/>
            <family val="3"/>
            <charset val="134"/>
          </rPr>
          <t>日支付宝转账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B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宋体"/>
            <family val="3"/>
            <charset val="134"/>
          </rPr>
          <t>日支付宝转账一万六千元</t>
        </r>
      </text>
    </comment>
    <comment ref="B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2018.5.31</t>
        </r>
        <r>
          <rPr>
            <sz val="9"/>
            <color indexed="81"/>
            <rFont val="宋体"/>
            <family val="3"/>
            <charset val="134"/>
          </rPr>
          <t>微信转账八千五</t>
        </r>
      </text>
    </comment>
    <comment ref="B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2018.8.2</t>
        </r>
        <r>
          <rPr>
            <sz val="9"/>
            <color indexed="81"/>
            <rFont val="宋体"/>
            <family val="3"/>
            <charset val="134"/>
          </rPr>
          <t>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B8" authorId="0">
      <text>
        <r>
          <rPr>
            <b/>
            <sz val="9"/>
            <color indexed="81"/>
            <rFont val="宋体"/>
            <family val="3"/>
            <charset val="134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支付宝转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2018.8.7</t>
        </r>
        <r>
          <rPr>
            <sz val="9"/>
            <color indexed="81"/>
            <rFont val="宋体"/>
            <family val="3"/>
            <charset val="134"/>
          </rPr>
          <t>支付宝分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宋体"/>
            <family val="3"/>
            <charset val="134"/>
          </rPr>
          <t>次共计转账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万，一笔</t>
        </r>
        <r>
          <rPr>
            <sz val="9"/>
            <color indexed="81"/>
            <rFont val="Tahoma"/>
            <family val="2"/>
          </rPr>
          <t>7</t>
        </r>
        <r>
          <rPr>
            <sz val="9"/>
            <color indexed="81"/>
            <rFont val="宋体"/>
            <family val="3"/>
            <charset val="134"/>
          </rPr>
          <t>千，一笔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A10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李小青的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万现金，算在小姨名下</t>
        </r>
      </text>
    </comment>
    <comment ref="B10" authorId="0">
      <text>
        <r>
          <rPr>
            <b/>
            <sz val="9"/>
            <color indexed="81"/>
            <rFont val="宋体"/>
            <family val="3"/>
            <charset val="134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2018.8.9</t>
        </r>
        <r>
          <rPr>
            <sz val="9"/>
            <color indexed="81"/>
            <rFont val="宋体"/>
            <family val="3"/>
            <charset val="134"/>
          </rPr>
          <t>工行转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万，现金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宋体"/>
            <family val="3"/>
            <charset val="134"/>
          </rPr>
          <t>万（含李小青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万现金）</t>
        </r>
      </text>
    </comment>
    <comment ref="B1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现金万</t>
        </r>
      </text>
    </comment>
    <comment ref="B1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工行转账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1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现金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14" authorId="0">
      <text>
        <r>
          <rPr>
            <b/>
            <sz val="9"/>
            <color indexed="81"/>
            <rFont val="宋体"/>
            <family val="3"/>
            <charset val="134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支付宝转账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C1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2018.8.11</t>
        </r>
        <r>
          <rPr>
            <sz val="9"/>
            <color indexed="81"/>
            <rFont val="宋体"/>
            <family val="3"/>
            <charset val="134"/>
          </rPr>
          <t>支付宝转账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1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2018.8.9</t>
        </r>
        <r>
          <rPr>
            <sz val="9"/>
            <color indexed="81"/>
            <rFont val="宋体"/>
            <family val="3"/>
            <charset val="134"/>
          </rPr>
          <t>支付宝转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1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2018.8.9</t>
        </r>
        <r>
          <rPr>
            <sz val="9"/>
            <color indexed="81"/>
            <rFont val="宋体"/>
            <family val="3"/>
            <charset val="134"/>
          </rPr>
          <t>支付宝转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18" authorId="0">
      <text>
        <r>
          <rPr>
            <b/>
            <sz val="9"/>
            <color indexed="81"/>
            <rFont val="宋体"/>
            <family val="3"/>
            <charset val="134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建行转账</t>
        </r>
        <r>
          <rPr>
            <sz val="9"/>
            <color indexed="81"/>
            <rFont val="Tahoma"/>
            <family val="2"/>
          </rPr>
          <t>3.44+7.4+1.05</t>
        </r>
        <r>
          <rPr>
            <sz val="9"/>
            <color indexed="81"/>
            <rFont val="宋体"/>
            <family val="3"/>
            <charset val="134"/>
          </rPr>
          <t>万，再加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万农行</t>
        </r>
      </text>
    </comment>
  </commentList>
</comments>
</file>

<file path=xl/sharedStrings.xml><?xml version="1.0" encoding="utf-8"?>
<sst xmlns="http://schemas.openxmlformats.org/spreadsheetml/2006/main" count="36" uniqueCount="36">
  <si>
    <t>姓名</t>
    <phoneticPr fontId="1" type="noConversion"/>
  </si>
  <si>
    <t>A轮借款</t>
    <phoneticPr fontId="1" type="noConversion"/>
  </si>
  <si>
    <t>B轮借款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</si>
  <si>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</si>
  <si>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</si>
  <si>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</si>
  <si>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杨小云</t>
    <phoneticPr fontId="1" type="noConversion"/>
  </si>
  <si>
    <t>朱甜</t>
    <phoneticPr fontId="1" type="noConversion"/>
  </si>
  <si>
    <t>罗纯</t>
    <phoneticPr fontId="1" type="noConversion"/>
  </si>
  <si>
    <t>张蓉</t>
    <phoneticPr fontId="1" type="noConversion"/>
  </si>
  <si>
    <t>合计</t>
    <phoneticPr fontId="1" type="noConversion"/>
  </si>
  <si>
    <t>实际借款总额</t>
    <phoneticPr fontId="1" type="noConversion"/>
  </si>
  <si>
    <t>剩余未还金额</t>
    <phoneticPr fontId="1" type="noConversion"/>
  </si>
  <si>
    <t>借款总计</t>
    <phoneticPr fontId="1" type="noConversion"/>
  </si>
  <si>
    <t>贾晨晨</t>
    <phoneticPr fontId="1" type="noConversion"/>
  </si>
  <si>
    <t>曾金柱</t>
    <phoneticPr fontId="1" type="noConversion"/>
  </si>
  <si>
    <t>小姨</t>
    <phoneticPr fontId="1" type="noConversion"/>
  </si>
  <si>
    <t>大姨</t>
    <phoneticPr fontId="1" type="noConversion"/>
  </si>
  <si>
    <t>蔡舜华</t>
    <phoneticPr fontId="1" type="noConversion"/>
  </si>
  <si>
    <t>二舅妈</t>
    <phoneticPr fontId="1" type="noConversion"/>
  </si>
  <si>
    <t>李赣明</t>
    <phoneticPr fontId="1" type="noConversion"/>
  </si>
  <si>
    <t>自有资金</t>
    <phoneticPr fontId="1" type="noConversion"/>
  </si>
  <si>
    <t>zhuimeng17</t>
    <phoneticPr fontId="1" type="noConversion"/>
  </si>
  <si>
    <t>爸妈</t>
    <phoneticPr fontId="1" type="noConversion"/>
  </si>
  <si>
    <t>1轮还款</t>
    <phoneticPr fontId="1" type="noConversion"/>
  </si>
  <si>
    <t>2轮还款</t>
  </si>
  <si>
    <t>3轮还款</t>
  </si>
  <si>
    <t>4轮还款</t>
  </si>
  <si>
    <t>5轮还款</t>
  </si>
  <si>
    <t>6轮还款</t>
  </si>
  <si>
    <t>7轮还款</t>
  </si>
  <si>
    <t>8轮还款</t>
  </si>
  <si>
    <t>9轮还款</t>
  </si>
  <si>
    <t>10轮还款</t>
  </si>
  <si>
    <t>总结</t>
    <phoneticPr fontId="1" type="noConversion"/>
  </si>
  <si>
    <t>总共筹款53.84万元，其中负债26.45万。这笔款有50.7万元用于交首付，3万元用于契税和维修基金。
还款按同期银行定期利率计算，一年内还款的按一年定期利率，二年内的按两年定期利率。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</si>
</sst>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Fill="1" applyBorder="1" applyAlignment="1">
      <alignment horizontal="left" vertical="center" wrapText="1"/>
    </xf>
    <xf numFmtId="0" fontId="0" fillId="0" borderId="32" xfId="0" applyFill="1" applyBorder="1" applyAlignment="1">
      <alignment horizontal="left" vertical="center"/>
    </xf>
    <xf numFmtId="0" fontId="0" fillId="0" borderId="33" xfId="0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R10" sqref="R10"/>
    </sheetView>
  </sheetViews>
  <sheetFormatPr defaultRowHeight="13.5"/>
  <cols>
    <col min="1" max="1" width="13.625" style="1" customWidth="1"/>
    <col min="2" max="2" width="8.125" style="1" customWidth="1"/>
    <col min="3" max="3" width="7.375" style="1" customWidth="1"/>
    <col min="4" max="4" width="9.5" style="1" customWidth="1"/>
    <col min="5" max="14" width="9" style="1"/>
    <col min="15" max="15" width="11.625" style="1" customWidth="1"/>
    <col min="16" max="16384" width="9" style="1"/>
  </cols>
  <sheetData>
    <row r="1" spans="1:15" ht="14.25" thickBot="1">
      <c r="A1" s="22" t="s">
        <v>0</v>
      </c>
      <c r="B1" s="23" t="s">
        <v>1</v>
      </c>
      <c r="C1" s="23" t="s">
        <v>2</v>
      </c>
      <c r="D1" s="23" t="s">
        <v>11</v>
      </c>
      <c r="E1" s="24" t="s">
        <v>24</v>
      </c>
      <c r="F1" s="24" t="s">
        <v>25</v>
      </c>
      <c r="G1" s="24" t="s">
        <v>26</v>
      </c>
      <c r="H1" s="24" t="s">
        <v>27</v>
      </c>
      <c r="I1" s="24" t="s">
        <v>28</v>
      </c>
      <c r="J1" s="24" t="s">
        <v>29</v>
      </c>
      <c r="K1" s="24" t="s">
        <v>30</v>
      </c>
      <c r="L1" s="24" t="s">
        <v>31</v>
      </c>
      <c r="M1" s="24" t="s">
        <v>32</v>
      </c>
      <c r="N1" s="24" t="s">
        <v>33</v>
      </c>
      <c r="O1" s="25" t="s">
        <v>12</v>
      </c>
    </row>
    <row r="2" spans="1:15">
      <c r="A2" s="31" t="s">
        <v>3</v>
      </c>
      <c r="B2" s="21">
        <v>0.5</v>
      </c>
      <c r="C2" s="21">
        <v>0.5</v>
      </c>
      <c r="D2" s="32">
        <f>SUM(B2:C2)</f>
        <v>1</v>
      </c>
      <c r="E2" s="6"/>
      <c r="F2" s="6"/>
      <c r="G2" s="6"/>
      <c r="H2" s="6"/>
      <c r="I2" s="6"/>
      <c r="J2" s="6"/>
      <c r="K2" s="33"/>
      <c r="L2" s="33"/>
      <c r="M2" s="33"/>
      <c r="N2" s="33"/>
      <c r="O2" s="34">
        <f t="shared" ref="O2:O3" si="0">D2-(SUM(E2:J2))</f>
        <v>1</v>
      </c>
    </row>
    <row r="3" spans="1:15">
      <c r="A3" s="10" t="s">
        <v>4</v>
      </c>
      <c r="B3" s="13">
        <v>1</v>
      </c>
      <c r="C3" s="13"/>
      <c r="D3" s="3">
        <f>SUM(B3:C3)</f>
        <v>1</v>
      </c>
      <c r="E3" s="2"/>
      <c r="F3" s="2"/>
      <c r="G3" s="2"/>
      <c r="H3" s="2"/>
      <c r="I3" s="2"/>
      <c r="J3" s="2"/>
      <c r="K3" s="18"/>
      <c r="L3" s="18"/>
      <c r="M3" s="18"/>
      <c r="N3" s="18"/>
      <c r="O3" s="4">
        <f t="shared" si="0"/>
        <v>1</v>
      </c>
    </row>
    <row r="4" spans="1:15">
      <c r="A4" s="10" t="s">
        <v>6</v>
      </c>
      <c r="B4" s="13">
        <v>0.5</v>
      </c>
      <c r="C4" s="13"/>
      <c r="D4" s="3">
        <f>SUM(B4:C4)</f>
        <v>0.5</v>
      </c>
      <c r="E4" s="2"/>
      <c r="F4" s="2"/>
      <c r="G4" s="2"/>
      <c r="H4" s="2"/>
      <c r="I4" s="2"/>
      <c r="J4" s="2"/>
      <c r="K4" s="18"/>
      <c r="L4" s="18"/>
      <c r="M4" s="18"/>
      <c r="N4" s="18"/>
      <c r="O4" s="4">
        <f>D4-(SUM(E4:J4))</f>
        <v>0.5</v>
      </c>
    </row>
    <row r="5" spans="1:15">
      <c r="A5" s="10" t="s">
        <v>7</v>
      </c>
      <c r="B5" s="13">
        <v>1.6</v>
      </c>
      <c r="C5" s="13"/>
      <c r="D5" s="3">
        <f>SUM(B5:C5)</f>
        <v>1.6</v>
      </c>
      <c r="E5" s="2"/>
      <c r="F5" s="2"/>
      <c r="G5" s="2"/>
      <c r="H5" s="2"/>
      <c r="I5" s="2"/>
      <c r="J5" s="2"/>
      <c r="K5" s="18"/>
      <c r="L5" s="18"/>
      <c r="M5" s="18"/>
      <c r="N5" s="18"/>
      <c r="O5" s="4">
        <f>D5-(SUM(E5:J5))</f>
        <v>1.6</v>
      </c>
    </row>
    <row r="6" spans="1:15">
      <c r="A6" s="10" t="s">
        <v>8</v>
      </c>
      <c r="B6" s="13">
        <v>0.85</v>
      </c>
      <c r="C6" s="13"/>
      <c r="D6" s="3">
        <f>SUM(B6:C6)</f>
        <v>0.85</v>
      </c>
      <c r="E6" s="2"/>
      <c r="F6" s="2"/>
      <c r="G6" s="2"/>
      <c r="H6" s="2"/>
      <c r="I6" s="2"/>
      <c r="J6" s="2"/>
      <c r="K6" s="18"/>
      <c r="L6" s="18"/>
      <c r="M6" s="18"/>
      <c r="N6" s="18"/>
      <c r="O6" s="4">
        <f>D6-(SUM(E6:J6))</f>
        <v>0.85</v>
      </c>
    </row>
    <row r="7" spans="1:15">
      <c r="A7" s="10" t="s">
        <v>5</v>
      </c>
      <c r="B7" s="13">
        <v>0.5</v>
      </c>
      <c r="C7" s="13"/>
      <c r="D7" s="3">
        <f>SUM(B7:C7)</f>
        <v>0.5</v>
      </c>
      <c r="E7" s="2"/>
      <c r="F7" s="2"/>
      <c r="G7" s="2"/>
      <c r="H7" s="2"/>
      <c r="I7" s="2"/>
      <c r="J7" s="2"/>
      <c r="K7" s="18"/>
      <c r="L7" s="18"/>
      <c r="M7" s="18"/>
      <c r="N7" s="18"/>
      <c r="O7" s="4">
        <f>D7-(SUM(E7:J7))</f>
        <v>0.5</v>
      </c>
    </row>
    <row r="8" spans="1:15">
      <c r="A8" s="10" t="s">
        <v>9</v>
      </c>
      <c r="B8" s="13">
        <v>1</v>
      </c>
      <c r="C8" s="13"/>
      <c r="D8" s="3">
        <f>SUM(B8:C8)</f>
        <v>1</v>
      </c>
      <c r="E8" s="2"/>
      <c r="F8" s="2"/>
      <c r="G8" s="2"/>
      <c r="H8" s="2"/>
      <c r="I8" s="2"/>
      <c r="J8" s="2"/>
      <c r="K8" s="18"/>
      <c r="L8" s="18"/>
      <c r="M8" s="18"/>
      <c r="N8" s="18"/>
      <c r="O8" s="4">
        <f>D8-(SUM(E8:J8))</f>
        <v>1</v>
      </c>
    </row>
    <row r="9" spans="1:15" ht="14.25" thickBot="1">
      <c r="A9" s="35" t="s">
        <v>14</v>
      </c>
      <c r="B9" s="36">
        <v>1</v>
      </c>
      <c r="C9" s="36"/>
      <c r="D9" s="37">
        <f>SUM(B9:C9)</f>
        <v>1</v>
      </c>
      <c r="E9" s="38"/>
      <c r="F9" s="38"/>
      <c r="G9" s="38"/>
      <c r="H9" s="38"/>
      <c r="I9" s="38"/>
      <c r="J9" s="38"/>
      <c r="K9" s="39"/>
      <c r="L9" s="39"/>
      <c r="M9" s="39"/>
      <c r="N9" s="39"/>
      <c r="O9" s="40">
        <f t="shared" ref="O9:O16" si="1">D9-(SUM(E9:J9))</f>
        <v>1</v>
      </c>
    </row>
    <row r="10" spans="1:15" ht="14.25" thickBot="1">
      <c r="A10" s="17" t="s">
        <v>16</v>
      </c>
      <c r="B10" s="26">
        <v>3</v>
      </c>
      <c r="C10" s="27"/>
      <c r="D10" s="28">
        <f>SUM(B10:C10)</f>
        <v>3</v>
      </c>
      <c r="E10" s="12"/>
      <c r="F10" s="12"/>
      <c r="G10" s="12"/>
      <c r="H10" s="12"/>
      <c r="I10" s="12"/>
      <c r="J10" s="12"/>
      <c r="K10" s="29"/>
      <c r="L10" s="29"/>
      <c r="M10" s="29"/>
      <c r="N10" s="29"/>
      <c r="O10" s="30">
        <f t="shared" si="1"/>
        <v>3</v>
      </c>
    </row>
    <row r="11" spans="1:15" ht="14.25" thickBot="1">
      <c r="A11" s="17" t="s">
        <v>17</v>
      </c>
      <c r="B11" s="21">
        <v>4</v>
      </c>
      <c r="C11" s="14"/>
      <c r="D11" s="3">
        <f>SUM(B11:C11)</f>
        <v>4</v>
      </c>
      <c r="E11" s="11"/>
      <c r="F11" s="11"/>
      <c r="G11" s="11"/>
      <c r="H11" s="11"/>
      <c r="I11" s="11"/>
      <c r="J11" s="11"/>
      <c r="K11" s="19"/>
      <c r="L11" s="19"/>
      <c r="M11" s="19"/>
      <c r="N11" s="19"/>
      <c r="O11" s="4">
        <f t="shared" si="1"/>
        <v>4</v>
      </c>
    </row>
    <row r="12" spans="1:15" ht="14.25" thickBot="1">
      <c r="A12" s="17" t="s">
        <v>18</v>
      </c>
      <c r="B12" s="21">
        <v>4</v>
      </c>
      <c r="C12" s="14"/>
      <c r="D12" s="3">
        <f>SUM(B12:C12)</f>
        <v>4</v>
      </c>
      <c r="E12" s="11"/>
      <c r="F12" s="11"/>
      <c r="G12" s="11"/>
      <c r="H12" s="11"/>
      <c r="I12" s="11"/>
      <c r="J12" s="11"/>
      <c r="K12" s="19"/>
      <c r="L12" s="19"/>
      <c r="M12" s="19"/>
      <c r="N12" s="19"/>
      <c r="O12" s="4">
        <f t="shared" si="1"/>
        <v>4</v>
      </c>
    </row>
    <row r="13" spans="1:15" ht="14.25" thickBot="1">
      <c r="A13" s="17" t="s">
        <v>19</v>
      </c>
      <c r="B13" s="21">
        <v>1</v>
      </c>
      <c r="C13" s="14"/>
      <c r="D13" s="3">
        <f>SUM(B13:C13)</f>
        <v>1</v>
      </c>
      <c r="E13" s="11"/>
      <c r="F13" s="11"/>
      <c r="G13" s="11"/>
      <c r="H13" s="11"/>
      <c r="I13" s="11"/>
      <c r="J13" s="11"/>
      <c r="K13" s="19"/>
      <c r="L13" s="19"/>
      <c r="M13" s="19"/>
      <c r="N13" s="19"/>
      <c r="O13" s="4">
        <f t="shared" si="1"/>
        <v>1</v>
      </c>
    </row>
    <row r="14" spans="1:15" ht="14.25" thickBot="1">
      <c r="A14" s="41" t="s">
        <v>20</v>
      </c>
      <c r="B14" s="42">
        <v>1</v>
      </c>
      <c r="C14" s="14">
        <v>1</v>
      </c>
      <c r="D14" s="15">
        <f>SUM(B14:C14)</f>
        <v>2</v>
      </c>
      <c r="E14" s="11"/>
      <c r="F14" s="11"/>
      <c r="G14" s="11"/>
      <c r="H14" s="11"/>
      <c r="I14" s="11"/>
      <c r="J14" s="11"/>
      <c r="K14" s="19"/>
      <c r="L14" s="19"/>
      <c r="M14" s="19"/>
      <c r="N14" s="19"/>
      <c r="O14" s="16">
        <f t="shared" si="1"/>
        <v>2</v>
      </c>
    </row>
    <row r="15" spans="1:15" ht="14.25" thickBot="1">
      <c r="A15" s="5" t="s">
        <v>15</v>
      </c>
      <c r="B15" s="21">
        <v>3</v>
      </c>
      <c r="C15" s="42"/>
      <c r="D15" s="32">
        <f>SUM(B15:C15)</f>
        <v>3</v>
      </c>
      <c r="E15" s="43"/>
      <c r="F15" s="43"/>
      <c r="G15" s="43"/>
      <c r="H15" s="43"/>
      <c r="I15" s="43"/>
      <c r="J15" s="43"/>
      <c r="K15" s="44"/>
      <c r="L15" s="44"/>
      <c r="M15" s="44"/>
      <c r="N15" s="44"/>
      <c r="O15" s="34">
        <f t="shared" si="1"/>
        <v>3</v>
      </c>
    </row>
    <row r="16" spans="1:15" ht="14.25" thickBot="1">
      <c r="A16" s="45" t="s">
        <v>22</v>
      </c>
      <c r="B16" s="46">
        <v>2</v>
      </c>
      <c r="C16" s="36"/>
      <c r="D16" s="37">
        <f>SUM(B16:C16)</f>
        <v>2</v>
      </c>
      <c r="E16" s="38"/>
      <c r="F16" s="38"/>
      <c r="G16" s="38"/>
      <c r="H16" s="38"/>
      <c r="I16" s="38"/>
      <c r="J16" s="38"/>
      <c r="K16" s="39"/>
      <c r="L16" s="39"/>
      <c r="M16" s="39"/>
      <c r="N16" s="39"/>
      <c r="O16" s="40">
        <f t="shared" si="1"/>
        <v>2</v>
      </c>
    </row>
    <row r="17" spans="1:15" ht="14.25" thickBot="1">
      <c r="A17" s="48" t="s">
        <v>13</v>
      </c>
      <c r="B17" s="49"/>
      <c r="C17" s="49"/>
      <c r="D17" s="49">
        <f>SUM(D2:D16)</f>
        <v>26.45</v>
      </c>
      <c r="E17" s="49"/>
      <c r="F17" s="49"/>
      <c r="G17" s="49"/>
      <c r="H17" s="49"/>
      <c r="I17" s="49"/>
      <c r="J17" s="49"/>
      <c r="K17" s="50"/>
      <c r="L17" s="50"/>
      <c r="M17" s="50"/>
      <c r="N17" s="50"/>
      <c r="O17" s="51">
        <f>SUM(O2:O16)</f>
        <v>26.45</v>
      </c>
    </row>
    <row r="18" spans="1:15" ht="14.25" thickBot="1">
      <c r="A18" s="17" t="s">
        <v>23</v>
      </c>
      <c r="B18" s="26">
        <v>12.89</v>
      </c>
      <c r="C18" s="27"/>
      <c r="D18" s="28">
        <f>SUM(B18:C18)</f>
        <v>12.89</v>
      </c>
      <c r="E18" s="12"/>
      <c r="F18" s="12"/>
      <c r="G18" s="12"/>
      <c r="H18" s="12"/>
      <c r="I18" s="12"/>
      <c r="J18" s="12"/>
      <c r="K18" s="29"/>
      <c r="L18" s="29"/>
      <c r="M18" s="29"/>
      <c r="N18" s="29"/>
      <c r="O18" s="47"/>
    </row>
    <row r="19" spans="1:15">
      <c r="A19" s="5" t="s">
        <v>21</v>
      </c>
      <c r="B19" s="21">
        <v>14.5</v>
      </c>
      <c r="C19" s="14"/>
      <c r="D19" s="3">
        <f>SUM(B19:C19)</f>
        <v>14.5</v>
      </c>
      <c r="E19" s="11"/>
      <c r="F19" s="11"/>
      <c r="G19" s="11"/>
      <c r="H19" s="11"/>
      <c r="I19" s="11"/>
      <c r="J19" s="11"/>
      <c r="K19" s="19"/>
      <c r="L19" s="19"/>
      <c r="M19" s="19"/>
      <c r="N19" s="19"/>
      <c r="O19" s="16"/>
    </row>
    <row r="20" spans="1:15" ht="14.25" thickBot="1">
      <c r="A20" s="7" t="s">
        <v>10</v>
      </c>
      <c r="B20" s="8"/>
      <c r="C20" s="8"/>
      <c r="D20" s="8">
        <f>SUM(D17:D19)</f>
        <v>53.84</v>
      </c>
      <c r="E20" s="8"/>
      <c r="F20" s="8"/>
      <c r="G20" s="8"/>
      <c r="H20" s="8"/>
      <c r="I20" s="8"/>
      <c r="J20" s="8"/>
      <c r="K20" s="20"/>
      <c r="L20" s="20"/>
      <c r="M20" s="20"/>
      <c r="N20" s="20"/>
      <c r="O20" s="9"/>
    </row>
    <row r="21" spans="1:15" ht="47.25" customHeight="1" thickBot="1">
      <c r="A21" s="52" t="s">
        <v>34</v>
      </c>
      <c r="B21" s="53" t="s">
        <v>35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5"/>
    </row>
  </sheetData>
  <mergeCells count="1">
    <mergeCell ref="B21:O21"/>
  </mergeCells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2018-08-11T15:46:44Z</dcterms:modified>
</cp:coreProperties>
</file>